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\Imagens\Documentos Legit\. Faculdade\UDESC\8_Fase_UDESC\REF\REF_Trabalhos\Trab02\Compressores\PDF\"/>
    </mc:Choice>
  </mc:AlternateContent>
  <xr:revisionPtr revIDLastSave="0" documentId="13_ncr:1_{FB9F7D49-6101-4C1D-A103-AF3478909F8C}" xr6:coauthVersionLast="47" xr6:coauthVersionMax="47" xr10:uidLastSave="{00000000-0000-0000-0000-000000000000}"/>
  <bookViews>
    <workbookView xWindow="-120" yWindow="-120" windowWidth="38640" windowHeight="21120" xr2:uid="{18D5066B-B766-43D0-87EB-E0D8044049EA}"/>
  </bookViews>
  <sheets>
    <sheet name="NJ9232E_12240" sheetId="1" r:id="rId1"/>
    <sheet name="NJ9232E_13949" sheetId="2" r:id="rId2"/>
    <sheet name="NJ9238E_15467" sheetId="3" r:id="rId3"/>
    <sheet name="NJ7240F_1946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4" l="1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I3" i="4"/>
  <c r="H3" i="4"/>
  <c r="I2" i="4"/>
  <c r="H2" i="4"/>
  <c r="I20" i="3"/>
  <c r="H20" i="3"/>
  <c r="I19" i="3"/>
  <c r="H19" i="3"/>
  <c r="I18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I5" i="3"/>
  <c r="H5" i="3"/>
  <c r="I4" i="3"/>
  <c r="H4" i="3"/>
  <c r="I3" i="3"/>
  <c r="H3" i="3"/>
  <c r="I2" i="3"/>
  <c r="H2" i="3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  <c r="I3" i="2"/>
  <c r="H3" i="2"/>
  <c r="I2" i="2"/>
  <c r="H2" i="2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" i="1"/>
</calcChain>
</file>

<file path=xl/sharedStrings.xml><?xml version="1.0" encoding="utf-8"?>
<sst xmlns="http://schemas.openxmlformats.org/spreadsheetml/2006/main" count="36" uniqueCount="9">
  <si>
    <t>capacidade</t>
  </si>
  <si>
    <t>eficiencia</t>
  </si>
  <si>
    <t>consumo</t>
  </si>
  <si>
    <t>corrente</t>
  </si>
  <si>
    <t>fluxo_massa</t>
  </si>
  <si>
    <t>T_cond_C</t>
  </si>
  <si>
    <t>T_evap_C</t>
  </si>
  <si>
    <t>T_cond_K</t>
  </si>
  <si>
    <t>T_evap_K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</si>
</sst>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FB222-09DA-467C-90ED-2713E96E9DD4}">
  <dimension ref="A1:I20"/>
  <sheetViews>
    <sheetView tabSelected="1" workbookViewId="0">
      <selection activeCell="E43" sqref="E43"/>
    </sheetView>
  </sheetViews>
  <sheetFormatPr defaultRowHeight="15" x14ac:dyDescent="0.25"/>
  <cols>
    <col min="1" max="1" width="12.5703125" customWidth="1"/>
    <col min="2" max="2" width="14.28515625" customWidth="1"/>
    <col min="3" max="3" width="12.7109375" customWidth="1"/>
    <col min="6" max="6" width="13.85546875" customWidth="1"/>
    <col min="7" max="7" width="16.140625" customWidth="1"/>
    <col min="9" max="9" width="12.28515625" customWidth="1"/>
  </cols>
  <sheetData>
    <row r="1" spans="1:9" x14ac:dyDescent="0.25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7</v>
      </c>
      <c r="I1" t="s">
        <v>8</v>
      </c>
    </row>
    <row r="2" spans="1:9" x14ac:dyDescent="0.25">
      <c r="A2">
        <v>35</v>
      </c>
      <c r="B2">
        <v>-20</v>
      </c>
      <c r="C2">
        <v>4466</v>
      </c>
      <c r="D2">
        <v>5.48</v>
      </c>
      <c r="E2">
        <v>814</v>
      </c>
      <c r="F2">
        <v>3.56</v>
      </c>
      <c r="G2">
        <v>23.36</v>
      </c>
      <c r="H2">
        <f>A2+273</f>
        <v>308</v>
      </c>
      <c r="I2">
        <f>B2+273</f>
        <v>253</v>
      </c>
    </row>
    <row r="3" spans="1:9" x14ac:dyDescent="0.25">
      <c r="A3">
        <v>35</v>
      </c>
      <c r="B3">
        <v>-15</v>
      </c>
      <c r="C3">
        <v>5741</v>
      </c>
      <c r="D3">
        <v>6.46</v>
      </c>
      <c r="E3">
        <v>889</v>
      </c>
      <c r="F3">
        <v>4.03</v>
      </c>
      <c r="G3">
        <v>30.16</v>
      </c>
      <c r="H3">
        <f t="shared" ref="H3:I20" si="0">A3+273</f>
        <v>308</v>
      </c>
      <c r="I3">
        <f t="shared" si="0"/>
        <v>258</v>
      </c>
    </row>
    <row r="4" spans="1:9" x14ac:dyDescent="0.25">
      <c r="A4">
        <v>35</v>
      </c>
      <c r="B4">
        <v>-10</v>
      </c>
      <c r="C4">
        <v>7245</v>
      </c>
      <c r="D4">
        <v>7.5</v>
      </c>
      <c r="E4">
        <v>966</v>
      </c>
      <c r="F4">
        <v>4.45</v>
      </c>
      <c r="G4">
        <v>38.200000000000003</v>
      </c>
      <c r="H4">
        <f t="shared" si="0"/>
        <v>308</v>
      </c>
      <c r="I4">
        <f t="shared" si="0"/>
        <v>263</v>
      </c>
    </row>
    <row r="5" spans="1:9" x14ac:dyDescent="0.25">
      <c r="A5">
        <v>35</v>
      </c>
      <c r="B5">
        <v>-5</v>
      </c>
      <c r="C5">
        <v>9000</v>
      </c>
      <c r="D5">
        <v>8.69</v>
      </c>
      <c r="E5">
        <v>1036</v>
      </c>
      <c r="F5">
        <v>4.8099999999999996</v>
      </c>
      <c r="G5">
        <v>47.66</v>
      </c>
      <c r="H5">
        <f t="shared" si="0"/>
        <v>308</v>
      </c>
      <c r="I5">
        <f t="shared" si="0"/>
        <v>268</v>
      </c>
    </row>
    <row r="6" spans="1:9" x14ac:dyDescent="0.25">
      <c r="A6">
        <v>35</v>
      </c>
      <c r="B6">
        <v>0</v>
      </c>
      <c r="C6">
        <v>11028</v>
      </c>
      <c r="D6">
        <v>10.119999999999999</v>
      </c>
      <c r="E6">
        <v>1090</v>
      </c>
      <c r="F6">
        <v>5.12</v>
      </c>
      <c r="G6">
        <v>58.73</v>
      </c>
      <c r="H6">
        <f t="shared" si="0"/>
        <v>308</v>
      </c>
      <c r="I6">
        <f t="shared" si="0"/>
        <v>273</v>
      </c>
    </row>
    <row r="7" spans="1:9" x14ac:dyDescent="0.25">
      <c r="A7">
        <v>35</v>
      </c>
      <c r="B7">
        <v>5</v>
      </c>
      <c r="C7">
        <v>13350</v>
      </c>
      <c r="D7">
        <v>11.92</v>
      </c>
      <c r="E7">
        <v>1120</v>
      </c>
      <c r="F7">
        <v>5.37</v>
      </c>
      <c r="G7">
        <v>71.58</v>
      </c>
      <c r="H7">
        <f t="shared" si="0"/>
        <v>308</v>
      </c>
      <c r="I7">
        <f t="shared" si="0"/>
        <v>278</v>
      </c>
    </row>
    <row r="8" spans="1:9" x14ac:dyDescent="0.25">
      <c r="A8">
        <v>35</v>
      </c>
      <c r="B8">
        <v>10</v>
      </c>
      <c r="C8">
        <v>15989</v>
      </c>
      <c r="D8">
        <v>14.34</v>
      </c>
      <c r="E8">
        <v>1115</v>
      </c>
      <c r="F8">
        <v>5.55</v>
      </c>
      <c r="G8">
        <v>86.41</v>
      </c>
      <c r="H8">
        <f t="shared" si="0"/>
        <v>308</v>
      </c>
      <c r="I8">
        <f t="shared" si="0"/>
        <v>283</v>
      </c>
    </row>
    <row r="9" spans="1:9" x14ac:dyDescent="0.25">
      <c r="A9">
        <v>45</v>
      </c>
      <c r="B9">
        <v>-20</v>
      </c>
      <c r="C9">
        <v>4000</v>
      </c>
      <c r="D9">
        <v>4.9000000000000004</v>
      </c>
      <c r="E9">
        <v>816</v>
      </c>
      <c r="F9">
        <v>3.57</v>
      </c>
      <c r="G9">
        <v>22.35</v>
      </c>
      <c r="H9">
        <f t="shared" si="0"/>
        <v>318</v>
      </c>
      <c r="I9">
        <f t="shared" si="0"/>
        <v>253</v>
      </c>
    </row>
    <row r="10" spans="1:9" x14ac:dyDescent="0.25">
      <c r="A10">
        <v>45</v>
      </c>
      <c r="B10">
        <v>-15</v>
      </c>
      <c r="C10">
        <v>5182</v>
      </c>
      <c r="D10">
        <v>5.77</v>
      </c>
      <c r="E10">
        <v>898</v>
      </c>
      <c r="F10">
        <v>4.07</v>
      </c>
      <c r="G10">
        <v>29.07</v>
      </c>
      <c r="H10">
        <f t="shared" si="0"/>
        <v>318</v>
      </c>
      <c r="I10">
        <f t="shared" si="0"/>
        <v>258</v>
      </c>
    </row>
    <row r="11" spans="1:9" x14ac:dyDescent="0.25">
      <c r="A11">
        <v>45</v>
      </c>
      <c r="B11">
        <v>-10</v>
      </c>
      <c r="C11">
        <v>6579</v>
      </c>
      <c r="D11">
        <v>6.63</v>
      </c>
      <c r="E11">
        <v>993</v>
      </c>
      <c r="F11">
        <v>4.5599999999999996</v>
      </c>
      <c r="G11">
        <v>37.049999999999997</v>
      </c>
      <c r="H11">
        <f t="shared" si="0"/>
        <v>318</v>
      </c>
      <c r="I11">
        <f t="shared" si="0"/>
        <v>263</v>
      </c>
    </row>
    <row r="12" spans="1:9" x14ac:dyDescent="0.25">
      <c r="A12">
        <v>45</v>
      </c>
      <c r="B12">
        <v>-5</v>
      </c>
      <c r="C12">
        <v>8213</v>
      </c>
      <c r="D12">
        <v>7.52</v>
      </c>
      <c r="E12">
        <v>1092</v>
      </c>
      <c r="F12">
        <v>5.03</v>
      </c>
      <c r="G12">
        <v>46.49</v>
      </c>
      <c r="H12">
        <f t="shared" si="0"/>
        <v>318</v>
      </c>
      <c r="I12">
        <f t="shared" si="0"/>
        <v>268</v>
      </c>
    </row>
    <row r="13" spans="1:9" x14ac:dyDescent="0.25">
      <c r="A13">
        <v>45</v>
      </c>
      <c r="B13">
        <v>0</v>
      </c>
      <c r="C13">
        <v>10106</v>
      </c>
      <c r="D13">
        <v>8.52</v>
      </c>
      <c r="E13">
        <v>1187</v>
      </c>
      <c r="F13">
        <v>5.48</v>
      </c>
      <c r="G13">
        <v>57.56</v>
      </c>
      <c r="H13">
        <f t="shared" si="0"/>
        <v>318</v>
      </c>
      <c r="I13">
        <f t="shared" si="0"/>
        <v>273</v>
      </c>
    </row>
    <row r="14" spans="1:9" x14ac:dyDescent="0.25">
      <c r="A14">
        <v>45</v>
      </c>
      <c r="B14">
        <v>5</v>
      </c>
      <c r="C14">
        <v>12280</v>
      </c>
      <c r="D14">
        <v>9.69</v>
      </c>
      <c r="E14">
        <v>1267</v>
      </c>
      <c r="F14">
        <v>5.9</v>
      </c>
      <c r="G14">
        <v>70.45</v>
      </c>
      <c r="H14">
        <f t="shared" si="0"/>
        <v>318</v>
      </c>
      <c r="I14">
        <f t="shared" si="0"/>
        <v>278</v>
      </c>
    </row>
    <row r="15" spans="1:9" x14ac:dyDescent="0.25">
      <c r="A15">
        <v>45</v>
      </c>
      <c r="B15">
        <v>10</v>
      </c>
      <c r="C15">
        <v>14757</v>
      </c>
      <c r="D15">
        <v>11.14</v>
      </c>
      <c r="E15">
        <v>1325</v>
      </c>
      <c r="F15">
        <v>6.28</v>
      </c>
      <c r="G15">
        <v>85.34</v>
      </c>
      <c r="H15">
        <f t="shared" si="0"/>
        <v>318</v>
      </c>
      <c r="I15">
        <f t="shared" si="0"/>
        <v>283</v>
      </c>
    </row>
    <row r="16" spans="1:9" x14ac:dyDescent="0.25">
      <c r="A16">
        <v>55</v>
      </c>
      <c r="B16">
        <v>-10</v>
      </c>
      <c r="C16">
        <v>5930</v>
      </c>
      <c r="D16">
        <v>6.01</v>
      </c>
      <c r="E16">
        <v>987</v>
      </c>
      <c r="F16">
        <v>4.68</v>
      </c>
      <c r="G16">
        <v>35.950000000000003</v>
      </c>
      <c r="H16">
        <f t="shared" si="0"/>
        <v>328</v>
      </c>
      <c r="I16">
        <f t="shared" si="0"/>
        <v>263</v>
      </c>
    </row>
    <row r="17" spans="1:9" x14ac:dyDescent="0.25">
      <c r="A17">
        <v>55</v>
      </c>
      <c r="B17">
        <v>-5</v>
      </c>
      <c r="C17">
        <v>7432</v>
      </c>
      <c r="D17">
        <v>6.75</v>
      </c>
      <c r="E17">
        <v>1101</v>
      </c>
      <c r="F17">
        <v>5.25</v>
      </c>
      <c r="G17">
        <v>45.31</v>
      </c>
      <c r="H17">
        <f t="shared" si="0"/>
        <v>328</v>
      </c>
      <c r="I17">
        <f t="shared" si="0"/>
        <v>268</v>
      </c>
    </row>
    <row r="18" spans="1:9" x14ac:dyDescent="0.25">
      <c r="A18">
        <v>55</v>
      </c>
      <c r="B18">
        <v>0</v>
      </c>
      <c r="C18">
        <v>9179</v>
      </c>
      <c r="D18">
        <v>7.51</v>
      </c>
      <c r="E18">
        <v>1222</v>
      </c>
      <c r="F18">
        <v>5.84</v>
      </c>
      <c r="G18">
        <v>56.34</v>
      </c>
      <c r="H18">
        <f t="shared" si="0"/>
        <v>328</v>
      </c>
      <c r="I18">
        <f t="shared" si="0"/>
        <v>273</v>
      </c>
    </row>
    <row r="19" spans="1:9" x14ac:dyDescent="0.25">
      <c r="A19">
        <v>55</v>
      </c>
      <c r="B19">
        <v>5</v>
      </c>
      <c r="C19">
        <v>11194</v>
      </c>
      <c r="D19">
        <v>8.36</v>
      </c>
      <c r="E19">
        <v>1339</v>
      </c>
      <c r="F19">
        <v>6.43</v>
      </c>
      <c r="G19">
        <v>69.22</v>
      </c>
      <c r="H19">
        <f t="shared" si="0"/>
        <v>328</v>
      </c>
      <c r="I19">
        <f t="shared" si="0"/>
        <v>278</v>
      </c>
    </row>
    <row r="20" spans="1:9" x14ac:dyDescent="0.25">
      <c r="A20">
        <v>55</v>
      </c>
      <c r="B20">
        <v>10</v>
      </c>
      <c r="C20">
        <v>13497</v>
      </c>
      <c r="D20">
        <v>9.34</v>
      </c>
      <c r="E20">
        <v>1445</v>
      </c>
      <c r="F20">
        <v>7.02</v>
      </c>
      <c r="G20">
        <v>84.14</v>
      </c>
      <c r="H20">
        <f t="shared" si="0"/>
        <v>328</v>
      </c>
      <c r="I20">
        <f t="shared" si="0"/>
        <v>283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F4888-67E8-4159-9FC7-201ABD33FFFB}">
  <dimension ref="A1:I20"/>
  <sheetViews>
    <sheetView workbookViewId="0">
      <selection activeCell="H34" sqref="H34"/>
    </sheetView>
  </sheetViews>
  <sheetFormatPr defaultRowHeight="15" x14ac:dyDescent="0.25"/>
  <sheetData>
    <row r="1" spans="1:9" x14ac:dyDescent="0.25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7</v>
      </c>
      <c r="I1" t="s">
        <v>8</v>
      </c>
    </row>
    <row r="2" spans="1:9" x14ac:dyDescent="0.25">
      <c r="A2">
        <v>35</v>
      </c>
      <c r="B2">
        <v>-20</v>
      </c>
      <c r="C2">
        <v>5256</v>
      </c>
      <c r="D2">
        <v>5.9</v>
      </c>
      <c r="E2">
        <v>890</v>
      </c>
      <c r="F2">
        <v>4.71</v>
      </c>
      <c r="G2">
        <v>27.5</v>
      </c>
      <c r="H2">
        <f>A2+273</f>
        <v>308</v>
      </c>
      <c r="I2">
        <f>B2+273</f>
        <v>253</v>
      </c>
    </row>
    <row r="3" spans="1:9" x14ac:dyDescent="0.25">
      <c r="A3">
        <v>35</v>
      </c>
      <c r="B3">
        <v>-15</v>
      </c>
      <c r="C3">
        <v>7178</v>
      </c>
      <c r="D3">
        <v>7.27</v>
      </c>
      <c r="E3">
        <v>987</v>
      </c>
      <c r="F3">
        <v>5.14</v>
      </c>
      <c r="G3">
        <v>37.68</v>
      </c>
      <c r="H3">
        <f t="shared" ref="H3:I20" si="0">A3+273</f>
        <v>308</v>
      </c>
      <c r="I3">
        <f t="shared" si="0"/>
        <v>258</v>
      </c>
    </row>
    <row r="4" spans="1:9" x14ac:dyDescent="0.25">
      <c r="A4">
        <v>35</v>
      </c>
      <c r="B4">
        <v>-10</v>
      </c>
      <c r="C4">
        <v>9321</v>
      </c>
      <c r="D4">
        <v>8.56</v>
      </c>
      <c r="E4">
        <v>1089</v>
      </c>
      <c r="F4">
        <v>5.59</v>
      </c>
      <c r="G4">
        <v>49.14</v>
      </c>
      <c r="H4">
        <f t="shared" si="0"/>
        <v>308</v>
      </c>
      <c r="I4">
        <f t="shared" si="0"/>
        <v>263</v>
      </c>
    </row>
    <row r="5" spans="1:9" x14ac:dyDescent="0.25">
      <c r="A5">
        <v>35</v>
      </c>
      <c r="B5">
        <v>-5</v>
      </c>
      <c r="C5">
        <v>11629</v>
      </c>
      <c r="D5">
        <v>9.7799999999999994</v>
      </c>
      <c r="E5">
        <v>1189</v>
      </c>
      <c r="F5">
        <v>6.07</v>
      </c>
      <c r="G5">
        <v>61.62</v>
      </c>
      <c r="H5">
        <f t="shared" si="0"/>
        <v>308</v>
      </c>
      <c r="I5">
        <f t="shared" si="0"/>
        <v>268</v>
      </c>
    </row>
    <row r="6" spans="1:9" x14ac:dyDescent="0.25">
      <c r="A6">
        <v>35</v>
      </c>
      <c r="B6">
        <v>0</v>
      </c>
      <c r="C6">
        <v>14042</v>
      </c>
      <c r="D6">
        <v>10.94</v>
      </c>
      <c r="E6">
        <v>1283</v>
      </c>
      <c r="F6">
        <v>6.55</v>
      </c>
      <c r="G6">
        <v>74.83</v>
      </c>
      <c r="H6">
        <f t="shared" si="0"/>
        <v>308</v>
      </c>
      <c r="I6">
        <f t="shared" si="0"/>
        <v>273</v>
      </c>
    </row>
    <row r="7" spans="1:9" x14ac:dyDescent="0.25">
      <c r="A7">
        <v>35</v>
      </c>
      <c r="B7">
        <v>5</v>
      </c>
      <c r="C7">
        <v>16502</v>
      </c>
      <c r="D7">
        <v>12.09</v>
      </c>
      <c r="E7">
        <v>1366</v>
      </c>
      <c r="F7">
        <v>7.05</v>
      </c>
      <c r="G7">
        <v>88.5</v>
      </c>
      <c r="H7">
        <f t="shared" si="0"/>
        <v>308</v>
      </c>
      <c r="I7">
        <f t="shared" si="0"/>
        <v>278</v>
      </c>
    </row>
    <row r="8" spans="1:9" x14ac:dyDescent="0.25">
      <c r="A8">
        <v>35</v>
      </c>
      <c r="B8">
        <v>10</v>
      </c>
      <c r="C8">
        <v>18952</v>
      </c>
      <c r="D8">
        <v>13.25</v>
      </c>
      <c r="E8">
        <v>1430</v>
      </c>
      <c r="F8">
        <v>7.55</v>
      </c>
      <c r="G8">
        <v>102.34</v>
      </c>
      <c r="H8">
        <f t="shared" si="0"/>
        <v>308</v>
      </c>
      <c r="I8">
        <f t="shared" si="0"/>
        <v>283</v>
      </c>
    </row>
    <row r="9" spans="1:9" x14ac:dyDescent="0.25">
      <c r="A9">
        <v>45</v>
      </c>
      <c r="B9">
        <v>-20</v>
      </c>
      <c r="C9">
        <v>4234</v>
      </c>
      <c r="D9">
        <v>4.59</v>
      </c>
      <c r="E9">
        <v>922</v>
      </c>
      <c r="F9">
        <v>4.74</v>
      </c>
      <c r="G9">
        <v>23.66</v>
      </c>
      <c r="H9">
        <f t="shared" si="0"/>
        <v>318</v>
      </c>
      <c r="I9">
        <f t="shared" si="0"/>
        <v>253</v>
      </c>
    </row>
    <row r="10" spans="1:9" x14ac:dyDescent="0.25">
      <c r="A10">
        <v>45</v>
      </c>
      <c r="B10">
        <v>-15</v>
      </c>
      <c r="C10">
        <v>5965</v>
      </c>
      <c r="D10">
        <v>5.78</v>
      </c>
      <c r="E10">
        <v>1032</v>
      </c>
      <c r="F10">
        <v>5.31</v>
      </c>
      <c r="G10">
        <v>33.450000000000003</v>
      </c>
      <c r="H10">
        <f t="shared" si="0"/>
        <v>318</v>
      </c>
      <c r="I10">
        <f t="shared" si="0"/>
        <v>258</v>
      </c>
    </row>
    <row r="11" spans="1:9" x14ac:dyDescent="0.25">
      <c r="A11">
        <v>45</v>
      </c>
      <c r="B11">
        <v>-10</v>
      </c>
      <c r="C11">
        <v>7933</v>
      </c>
      <c r="D11">
        <v>6.85</v>
      </c>
      <c r="E11">
        <v>1158</v>
      </c>
      <c r="F11">
        <v>5.9</v>
      </c>
      <c r="G11">
        <v>44.67</v>
      </c>
      <c r="H11">
        <f t="shared" si="0"/>
        <v>318</v>
      </c>
      <c r="I11">
        <f t="shared" si="0"/>
        <v>263</v>
      </c>
    </row>
    <row r="12" spans="1:9" x14ac:dyDescent="0.25">
      <c r="A12">
        <v>45</v>
      </c>
      <c r="B12">
        <v>-5</v>
      </c>
      <c r="C12">
        <v>10078</v>
      </c>
      <c r="D12">
        <v>7.78</v>
      </c>
      <c r="E12">
        <v>1295</v>
      </c>
      <c r="F12">
        <v>6.51</v>
      </c>
      <c r="G12">
        <v>57.05</v>
      </c>
      <c r="H12">
        <f t="shared" si="0"/>
        <v>318</v>
      </c>
      <c r="I12">
        <f t="shared" si="0"/>
        <v>268</v>
      </c>
    </row>
    <row r="13" spans="1:9" x14ac:dyDescent="0.25">
      <c r="A13">
        <v>45</v>
      </c>
      <c r="B13">
        <v>0</v>
      </c>
      <c r="C13">
        <v>12345</v>
      </c>
      <c r="D13">
        <v>8.59</v>
      </c>
      <c r="E13">
        <v>1437</v>
      </c>
      <c r="F13">
        <v>7.13</v>
      </c>
      <c r="G13">
        <v>70.319999999999993</v>
      </c>
      <c r="H13">
        <f t="shared" si="0"/>
        <v>318</v>
      </c>
      <c r="I13">
        <f t="shared" si="0"/>
        <v>273</v>
      </c>
    </row>
    <row r="14" spans="1:9" x14ac:dyDescent="0.25">
      <c r="A14">
        <v>45</v>
      </c>
      <c r="B14">
        <v>5</v>
      </c>
      <c r="C14">
        <v>14674</v>
      </c>
      <c r="D14">
        <v>9.2899999999999991</v>
      </c>
      <c r="E14">
        <v>1579</v>
      </c>
      <c r="F14">
        <v>7.76</v>
      </c>
      <c r="G14">
        <v>84.19</v>
      </c>
      <c r="H14">
        <f t="shared" si="0"/>
        <v>318</v>
      </c>
      <c r="I14">
        <f t="shared" si="0"/>
        <v>278</v>
      </c>
    </row>
    <row r="15" spans="1:9" x14ac:dyDescent="0.25">
      <c r="A15">
        <v>45</v>
      </c>
      <c r="B15">
        <v>10</v>
      </c>
      <c r="C15">
        <v>17007</v>
      </c>
      <c r="D15">
        <v>9.92</v>
      </c>
      <c r="E15">
        <v>1715</v>
      </c>
      <c r="F15">
        <v>8.39</v>
      </c>
      <c r="G15">
        <v>98.38</v>
      </c>
      <c r="H15">
        <f t="shared" si="0"/>
        <v>318</v>
      </c>
      <c r="I15">
        <f t="shared" si="0"/>
        <v>283</v>
      </c>
    </row>
    <row r="16" spans="1:9" x14ac:dyDescent="0.25">
      <c r="A16">
        <v>55</v>
      </c>
      <c r="B16">
        <v>-10</v>
      </c>
      <c r="C16">
        <v>6693</v>
      </c>
      <c r="D16">
        <v>5.7</v>
      </c>
      <c r="E16">
        <v>1175</v>
      </c>
      <c r="F16">
        <v>6.2</v>
      </c>
      <c r="G16">
        <v>40.590000000000003</v>
      </c>
      <c r="H16">
        <f t="shared" si="0"/>
        <v>328</v>
      </c>
      <c r="I16">
        <f t="shared" si="0"/>
        <v>263</v>
      </c>
    </row>
    <row r="17" spans="1:9" x14ac:dyDescent="0.25">
      <c r="A17">
        <v>55</v>
      </c>
      <c r="B17">
        <v>-5</v>
      </c>
      <c r="C17">
        <v>8639</v>
      </c>
      <c r="D17">
        <v>6.5</v>
      </c>
      <c r="E17">
        <v>1329</v>
      </c>
      <c r="F17">
        <v>6.94</v>
      </c>
      <c r="G17">
        <v>52.66</v>
      </c>
      <c r="H17">
        <f t="shared" si="0"/>
        <v>328</v>
      </c>
      <c r="I17">
        <f t="shared" si="0"/>
        <v>268</v>
      </c>
    </row>
    <row r="18" spans="1:9" x14ac:dyDescent="0.25">
      <c r="A18">
        <v>55</v>
      </c>
      <c r="B18">
        <v>0</v>
      </c>
      <c r="C18">
        <v>10721</v>
      </c>
      <c r="D18">
        <v>7.14</v>
      </c>
      <c r="E18">
        <v>1501</v>
      </c>
      <c r="F18">
        <v>7.7</v>
      </c>
      <c r="G18">
        <v>65.760000000000005</v>
      </c>
      <c r="H18">
        <f t="shared" si="0"/>
        <v>328</v>
      </c>
      <c r="I18">
        <f t="shared" si="0"/>
        <v>273</v>
      </c>
    </row>
    <row r="19" spans="1:9" x14ac:dyDescent="0.25">
      <c r="A19">
        <v>55</v>
      </c>
      <c r="B19">
        <v>5</v>
      </c>
      <c r="C19">
        <v>12880</v>
      </c>
      <c r="D19">
        <v>7.65</v>
      </c>
      <c r="E19">
        <v>1684</v>
      </c>
      <c r="F19">
        <v>8.4600000000000009</v>
      </c>
      <c r="G19">
        <v>79.61</v>
      </c>
      <c r="H19">
        <f t="shared" si="0"/>
        <v>328</v>
      </c>
      <c r="I19">
        <f t="shared" si="0"/>
        <v>278</v>
      </c>
    </row>
    <row r="20" spans="1:9" x14ac:dyDescent="0.25">
      <c r="A20">
        <v>55</v>
      </c>
      <c r="B20">
        <v>10</v>
      </c>
      <c r="C20">
        <v>15058</v>
      </c>
      <c r="D20">
        <v>8.0399999999999991</v>
      </c>
      <c r="E20">
        <v>1873</v>
      </c>
      <c r="F20">
        <v>9.2200000000000006</v>
      </c>
      <c r="G20">
        <v>93.93</v>
      </c>
      <c r="H20">
        <f t="shared" si="0"/>
        <v>328</v>
      </c>
      <c r="I20">
        <f t="shared" si="0"/>
        <v>283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2F368-675B-4068-83BB-95F9700A28F9}">
  <dimension ref="A1:I20"/>
  <sheetViews>
    <sheetView workbookViewId="0">
      <selection sqref="A1:I20"/>
    </sheetView>
  </sheetViews>
  <sheetFormatPr defaultRowHeight="15" x14ac:dyDescent="0.25"/>
  <sheetData>
    <row r="1" spans="1:9" x14ac:dyDescent="0.25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7</v>
      </c>
      <c r="I1" t="s">
        <v>8</v>
      </c>
    </row>
    <row r="2" spans="1:9" x14ac:dyDescent="0.25">
      <c r="A2">
        <v>35</v>
      </c>
      <c r="B2">
        <v>-20</v>
      </c>
      <c r="C2">
        <v>5708</v>
      </c>
      <c r="D2">
        <v>5.66</v>
      </c>
      <c r="E2">
        <v>1009</v>
      </c>
      <c r="F2">
        <v>4.8899999999999997</v>
      </c>
      <c r="G2">
        <v>29.87</v>
      </c>
      <c r="H2">
        <f>A2+273</f>
        <v>308</v>
      </c>
      <c r="I2">
        <f>B2+273</f>
        <v>253</v>
      </c>
    </row>
    <row r="3" spans="1:9" x14ac:dyDescent="0.25">
      <c r="A3">
        <v>35</v>
      </c>
      <c r="B3">
        <v>-15</v>
      </c>
      <c r="C3">
        <v>7329</v>
      </c>
      <c r="D3">
        <v>6.61</v>
      </c>
      <c r="E3">
        <v>1108</v>
      </c>
      <c r="F3">
        <v>5.3</v>
      </c>
      <c r="G3">
        <v>38.49</v>
      </c>
      <c r="H3">
        <f t="shared" ref="H3:I20" si="0">A3+273</f>
        <v>308</v>
      </c>
      <c r="I3">
        <f t="shared" si="0"/>
        <v>258</v>
      </c>
    </row>
    <row r="4" spans="1:9" x14ac:dyDescent="0.25">
      <c r="A4">
        <v>35</v>
      </c>
      <c r="B4">
        <v>-10</v>
      </c>
      <c r="C4">
        <v>9326</v>
      </c>
      <c r="D4">
        <v>7.69</v>
      </c>
      <c r="E4">
        <v>1213</v>
      </c>
      <c r="F4">
        <v>5.73</v>
      </c>
      <c r="G4">
        <v>49.16</v>
      </c>
      <c r="H4">
        <f t="shared" si="0"/>
        <v>308</v>
      </c>
      <c r="I4">
        <f t="shared" si="0"/>
        <v>263</v>
      </c>
    </row>
    <row r="5" spans="1:9" x14ac:dyDescent="0.25">
      <c r="A5">
        <v>35</v>
      </c>
      <c r="B5">
        <v>-5</v>
      </c>
      <c r="C5">
        <v>11695</v>
      </c>
      <c r="D5">
        <v>8.92</v>
      </c>
      <c r="E5">
        <v>1311</v>
      </c>
      <c r="F5">
        <v>6.15</v>
      </c>
      <c r="G5">
        <v>61.95</v>
      </c>
      <c r="H5">
        <f t="shared" si="0"/>
        <v>308</v>
      </c>
      <c r="I5">
        <f t="shared" si="0"/>
        <v>268</v>
      </c>
    </row>
    <row r="6" spans="1:9" x14ac:dyDescent="0.25">
      <c r="A6">
        <v>35</v>
      </c>
      <c r="B6">
        <v>0</v>
      </c>
      <c r="C6">
        <v>14434</v>
      </c>
      <c r="D6">
        <v>10.4</v>
      </c>
      <c r="E6">
        <v>1387</v>
      </c>
      <c r="F6">
        <v>6.59</v>
      </c>
      <c r="G6">
        <v>76.900000000000006</v>
      </c>
      <c r="H6">
        <f t="shared" si="0"/>
        <v>308</v>
      </c>
      <c r="I6">
        <f t="shared" si="0"/>
        <v>273</v>
      </c>
    </row>
    <row r="7" spans="1:9" x14ac:dyDescent="0.25">
      <c r="A7">
        <v>35</v>
      </c>
      <c r="B7">
        <v>5</v>
      </c>
      <c r="C7">
        <v>17539</v>
      </c>
      <c r="D7">
        <v>12.26</v>
      </c>
      <c r="E7">
        <v>1430</v>
      </c>
      <c r="F7">
        <v>7.02</v>
      </c>
      <c r="G7">
        <v>94.06</v>
      </c>
      <c r="H7">
        <f t="shared" si="0"/>
        <v>308</v>
      </c>
      <c r="I7">
        <f t="shared" si="0"/>
        <v>278</v>
      </c>
    </row>
    <row r="8" spans="1:9" x14ac:dyDescent="0.25">
      <c r="A8">
        <v>35</v>
      </c>
      <c r="B8">
        <v>10</v>
      </c>
      <c r="C8">
        <v>21008</v>
      </c>
      <c r="D8">
        <v>14.72</v>
      </c>
      <c r="E8">
        <v>1427</v>
      </c>
      <c r="F8">
        <v>7.46</v>
      </c>
      <c r="G8">
        <v>113.51</v>
      </c>
      <c r="H8">
        <f t="shared" si="0"/>
        <v>308</v>
      </c>
      <c r="I8">
        <f t="shared" si="0"/>
        <v>283</v>
      </c>
    </row>
    <row r="9" spans="1:9" x14ac:dyDescent="0.25">
      <c r="A9">
        <v>45</v>
      </c>
      <c r="B9">
        <v>-20</v>
      </c>
      <c r="C9">
        <v>5310</v>
      </c>
      <c r="D9">
        <v>4.9400000000000004</v>
      </c>
      <c r="E9">
        <v>1075</v>
      </c>
      <c r="F9">
        <v>5.04</v>
      </c>
      <c r="G9">
        <v>29.67</v>
      </c>
      <c r="H9">
        <f t="shared" si="0"/>
        <v>318</v>
      </c>
      <c r="I9">
        <f t="shared" si="0"/>
        <v>253</v>
      </c>
    </row>
    <row r="10" spans="1:9" x14ac:dyDescent="0.25">
      <c r="A10">
        <v>45</v>
      </c>
      <c r="B10">
        <v>-15</v>
      </c>
      <c r="C10">
        <v>6760</v>
      </c>
      <c r="D10">
        <v>5.72</v>
      </c>
      <c r="E10">
        <v>1181</v>
      </c>
      <c r="F10">
        <v>5.53</v>
      </c>
      <c r="G10">
        <v>37.92</v>
      </c>
      <c r="H10">
        <f t="shared" si="0"/>
        <v>318</v>
      </c>
      <c r="I10">
        <f t="shared" si="0"/>
        <v>258</v>
      </c>
    </row>
    <row r="11" spans="1:9" x14ac:dyDescent="0.25">
      <c r="A11">
        <v>45</v>
      </c>
      <c r="B11">
        <v>-10</v>
      </c>
      <c r="C11">
        <v>8547</v>
      </c>
      <c r="D11">
        <v>6.54</v>
      </c>
      <c r="E11">
        <v>1307</v>
      </c>
      <c r="F11">
        <v>6.03</v>
      </c>
      <c r="G11">
        <v>48.14</v>
      </c>
      <c r="H11">
        <f t="shared" si="0"/>
        <v>318</v>
      </c>
      <c r="I11">
        <f t="shared" si="0"/>
        <v>263</v>
      </c>
    </row>
    <row r="12" spans="1:9" x14ac:dyDescent="0.25">
      <c r="A12">
        <v>45</v>
      </c>
      <c r="B12">
        <v>-5</v>
      </c>
      <c r="C12">
        <v>10669</v>
      </c>
      <c r="D12">
        <v>7.41</v>
      </c>
      <c r="E12">
        <v>1439</v>
      </c>
      <c r="F12">
        <v>6.52</v>
      </c>
      <c r="G12">
        <v>60.4</v>
      </c>
      <c r="H12">
        <f t="shared" si="0"/>
        <v>318</v>
      </c>
      <c r="I12">
        <f t="shared" si="0"/>
        <v>268</v>
      </c>
    </row>
    <row r="13" spans="1:9" x14ac:dyDescent="0.25">
      <c r="A13">
        <v>45</v>
      </c>
      <c r="B13">
        <v>0</v>
      </c>
      <c r="C13">
        <v>13123</v>
      </c>
      <c r="D13">
        <v>8.3800000000000008</v>
      </c>
      <c r="E13">
        <v>1565</v>
      </c>
      <c r="F13">
        <v>7</v>
      </c>
      <c r="G13">
        <v>74.75</v>
      </c>
      <c r="H13">
        <f t="shared" si="0"/>
        <v>318</v>
      </c>
      <c r="I13">
        <f t="shared" si="0"/>
        <v>273</v>
      </c>
    </row>
    <row r="14" spans="1:9" x14ac:dyDescent="0.25">
      <c r="A14">
        <v>45</v>
      </c>
      <c r="B14">
        <v>5</v>
      </c>
      <c r="C14">
        <v>15905</v>
      </c>
      <c r="D14">
        <v>9.51</v>
      </c>
      <c r="E14">
        <v>1672</v>
      </c>
      <c r="F14">
        <v>7.48</v>
      </c>
      <c r="G14">
        <v>91.24</v>
      </c>
      <c r="H14">
        <f t="shared" si="0"/>
        <v>318</v>
      </c>
      <c r="I14">
        <f t="shared" si="0"/>
        <v>278</v>
      </c>
    </row>
    <row r="15" spans="1:9" x14ac:dyDescent="0.25">
      <c r="A15">
        <v>45</v>
      </c>
      <c r="B15">
        <v>10</v>
      </c>
      <c r="C15">
        <v>19013</v>
      </c>
      <c r="D15">
        <v>10.88</v>
      </c>
      <c r="E15">
        <v>1747</v>
      </c>
      <c r="F15">
        <v>7.95</v>
      </c>
      <c r="G15">
        <v>109.92</v>
      </c>
      <c r="H15">
        <f t="shared" si="0"/>
        <v>318</v>
      </c>
      <c r="I15">
        <f t="shared" si="0"/>
        <v>283</v>
      </c>
    </row>
    <row r="16" spans="1:9" x14ac:dyDescent="0.25">
      <c r="A16">
        <v>55</v>
      </c>
      <c r="B16">
        <v>-10</v>
      </c>
      <c r="C16">
        <v>7658</v>
      </c>
      <c r="D16">
        <v>5.7</v>
      </c>
      <c r="E16">
        <v>1343</v>
      </c>
      <c r="F16">
        <v>6.34</v>
      </c>
      <c r="G16">
        <v>46.43</v>
      </c>
      <c r="H16">
        <f t="shared" si="0"/>
        <v>328</v>
      </c>
      <c r="I16">
        <f t="shared" si="0"/>
        <v>263</v>
      </c>
    </row>
    <row r="17" spans="1:9" x14ac:dyDescent="0.25">
      <c r="A17">
        <v>55</v>
      </c>
      <c r="B17">
        <v>-5</v>
      </c>
      <c r="C17">
        <v>9538</v>
      </c>
      <c r="D17">
        <v>6.38</v>
      </c>
      <c r="E17">
        <v>1495</v>
      </c>
      <c r="F17">
        <v>6.89</v>
      </c>
      <c r="G17">
        <v>58.14</v>
      </c>
      <c r="H17">
        <f t="shared" si="0"/>
        <v>328</v>
      </c>
      <c r="I17">
        <f t="shared" si="0"/>
        <v>268</v>
      </c>
    </row>
    <row r="18" spans="1:9" x14ac:dyDescent="0.25">
      <c r="A18">
        <v>55</v>
      </c>
      <c r="B18">
        <v>0</v>
      </c>
      <c r="C18">
        <v>11712</v>
      </c>
      <c r="D18">
        <v>7.08</v>
      </c>
      <c r="E18">
        <v>1655</v>
      </c>
      <c r="F18">
        <v>7.43</v>
      </c>
      <c r="G18">
        <v>71.87</v>
      </c>
      <c r="H18">
        <f t="shared" si="0"/>
        <v>328</v>
      </c>
      <c r="I18">
        <f t="shared" si="0"/>
        <v>273</v>
      </c>
    </row>
    <row r="19" spans="1:9" x14ac:dyDescent="0.25">
      <c r="A19">
        <v>55</v>
      </c>
      <c r="B19">
        <v>5</v>
      </c>
      <c r="C19">
        <v>14176</v>
      </c>
      <c r="D19">
        <v>7.83</v>
      </c>
      <c r="E19">
        <v>1809</v>
      </c>
      <c r="F19">
        <v>7.95</v>
      </c>
      <c r="G19">
        <v>87.66</v>
      </c>
      <c r="H19">
        <f t="shared" si="0"/>
        <v>328</v>
      </c>
      <c r="I19">
        <f t="shared" si="0"/>
        <v>278</v>
      </c>
    </row>
    <row r="20" spans="1:9" x14ac:dyDescent="0.25">
      <c r="A20">
        <v>55</v>
      </c>
      <c r="B20">
        <v>10</v>
      </c>
      <c r="C20">
        <v>16928</v>
      </c>
      <c r="D20">
        <v>8.6999999999999993</v>
      </c>
      <c r="E20">
        <v>1946</v>
      </c>
      <c r="F20">
        <v>8.4600000000000009</v>
      </c>
      <c r="G20">
        <v>105.57</v>
      </c>
      <c r="H20">
        <f t="shared" si="0"/>
        <v>328</v>
      </c>
      <c r="I20">
        <f t="shared" si="0"/>
        <v>283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E4A0-FD3F-461E-818E-7A2C066D9ECF}">
  <dimension ref="A1:I13"/>
  <sheetViews>
    <sheetView workbookViewId="0">
      <selection activeCell="O23" sqref="O23"/>
    </sheetView>
  </sheetViews>
  <sheetFormatPr defaultRowHeight="15" x14ac:dyDescent="0.25"/>
  <sheetData>
    <row r="1" spans="1:9" x14ac:dyDescent="0.25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7</v>
      </c>
      <c r="I1" t="s">
        <v>8</v>
      </c>
    </row>
    <row r="2" spans="1:9" x14ac:dyDescent="0.25">
      <c r="A2">
        <v>35</v>
      </c>
      <c r="B2">
        <v>0</v>
      </c>
      <c r="C2">
        <v>17345</v>
      </c>
      <c r="D2">
        <v>8.6199999999999992</v>
      </c>
      <c r="E2">
        <v>2012</v>
      </c>
      <c r="F2">
        <v>10.44</v>
      </c>
      <c r="G2">
        <v>92.4</v>
      </c>
      <c r="H2">
        <f>A2+273</f>
        <v>308</v>
      </c>
      <c r="I2">
        <f>B2+273</f>
        <v>273</v>
      </c>
    </row>
    <row r="3" spans="1:9" x14ac:dyDescent="0.25">
      <c r="A3">
        <v>35</v>
      </c>
      <c r="B3">
        <v>5</v>
      </c>
      <c r="C3">
        <v>21541</v>
      </c>
      <c r="D3">
        <v>9.66</v>
      </c>
      <c r="E3">
        <v>2231</v>
      </c>
      <c r="F3">
        <v>11.04</v>
      </c>
      <c r="G3">
        <v>115.51</v>
      </c>
      <c r="H3">
        <f t="shared" ref="H3:I20" si="0">A3+273</f>
        <v>308</v>
      </c>
      <c r="I3">
        <f t="shared" si="0"/>
        <v>278</v>
      </c>
    </row>
    <row r="4" spans="1:9" x14ac:dyDescent="0.25">
      <c r="A4">
        <v>35</v>
      </c>
      <c r="B4">
        <v>10</v>
      </c>
      <c r="C4">
        <v>26321</v>
      </c>
      <c r="D4">
        <v>10.98</v>
      </c>
      <c r="E4">
        <v>2396</v>
      </c>
      <c r="F4">
        <v>11.52</v>
      </c>
      <c r="G4">
        <v>142.22</v>
      </c>
      <c r="H4">
        <f t="shared" si="0"/>
        <v>308</v>
      </c>
      <c r="I4">
        <f t="shared" si="0"/>
        <v>283</v>
      </c>
    </row>
    <row r="5" spans="1:9" x14ac:dyDescent="0.25">
      <c r="A5">
        <v>35</v>
      </c>
      <c r="B5">
        <v>15</v>
      </c>
      <c r="C5">
        <v>31634</v>
      </c>
      <c r="D5">
        <v>12.85</v>
      </c>
      <c r="E5">
        <v>2462</v>
      </c>
      <c r="F5">
        <v>11.85</v>
      </c>
      <c r="G5">
        <v>172.46</v>
      </c>
      <c r="H5">
        <f t="shared" si="0"/>
        <v>308</v>
      </c>
      <c r="I5">
        <f t="shared" si="0"/>
        <v>288</v>
      </c>
    </row>
    <row r="6" spans="1:9" x14ac:dyDescent="0.25">
      <c r="A6">
        <v>45</v>
      </c>
      <c r="B6">
        <v>0</v>
      </c>
      <c r="C6">
        <v>15964</v>
      </c>
      <c r="D6">
        <v>7.52</v>
      </c>
      <c r="E6">
        <v>2122</v>
      </c>
      <c r="F6">
        <v>10.99</v>
      </c>
      <c r="G6">
        <v>90.92</v>
      </c>
      <c r="H6">
        <f t="shared" si="0"/>
        <v>318</v>
      </c>
      <c r="I6">
        <f t="shared" si="0"/>
        <v>273</v>
      </c>
    </row>
    <row r="7" spans="1:9" x14ac:dyDescent="0.25">
      <c r="A7">
        <v>45</v>
      </c>
      <c r="B7">
        <v>5</v>
      </c>
      <c r="C7">
        <v>19692</v>
      </c>
      <c r="D7">
        <v>8.39</v>
      </c>
      <c r="E7">
        <v>2347</v>
      </c>
      <c r="F7">
        <v>11.72</v>
      </c>
      <c r="G7">
        <v>112.95</v>
      </c>
      <c r="H7">
        <f t="shared" si="0"/>
        <v>318</v>
      </c>
      <c r="I7">
        <f t="shared" si="0"/>
        <v>278</v>
      </c>
    </row>
    <row r="8" spans="1:9" x14ac:dyDescent="0.25">
      <c r="A8">
        <v>45</v>
      </c>
      <c r="B8">
        <v>10</v>
      </c>
      <c r="C8">
        <v>23953</v>
      </c>
      <c r="D8">
        <v>9.2899999999999991</v>
      </c>
      <c r="E8">
        <v>2577</v>
      </c>
      <c r="F8">
        <v>12.32</v>
      </c>
      <c r="G8">
        <v>138.51</v>
      </c>
      <c r="H8">
        <f t="shared" si="0"/>
        <v>318</v>
      </c>
      <c r="I8">
        <f t="shared" si="0"/>
        <v>283</v>
      </c>
    </row>
    <row r="9" spans="1:9" x14ac:dyDescent="0.25">
      <c r="A9">
        <v>45</v>
      </c>
      <c r="B9">
        <v>15</v>
      </c>
      <c r="C9">
        <v>28696</v>
      </c>
      <c r="D9">
        <v>10.37</v>
      </c>
      <c r="E9">
        <v>2766</v>
      </c>
      <c r="F9">
        <v>12.81</v>
      </c>
      <c r="G9">
        <v>167.54</v>
      </c>
      <c r="H9">
        <f t="shared" si="0"/>
        <v>318</v>
      </c>
      <c r="I9">
        <f t="shared" si="0"/>
        <v>288</v>
      </c>
    </row>
    <row r="10" spans="1:9" x14ac:dyDescent="0.25">
      <c r="A10">
        <v>55</v>
      </c>
      <c r="B10">
        <v>0</v>
      </c>
      <c r="C10">
        <v>14495</v>
      </c>
      <c r="D10">
        <v>6.28</v>
      </c>
      <c r="E10">
        <v>2307</v>
      </c>
      <c r="F10">
        <v>11.57</v>
      </c>
      <c r="G10">
        <v>88.94</v>
      </c>
      <c r="H10">
        <f t="shared" si="0"/>
        <v>328</v>
      </c>
      <c r="I10">
        <f t="shared" si="0"/>
        <v>273</v>
      </c>
    </row>
    <row r="11" spans="1:9" x14ac:dyDescent="0.25">
      <c r="A11">
        <v>55</v>
      </c>
      <c r="B11">
        <v>5</v>
      </c>
      <c r="C11">
        <v>17743</v>
      </c>
      <c r="D11">
        <v>7.23</v>
      </c>
      <c r="E11">
        <v>2455</v>
      </c>
      <c r="F11">
        <v>12.42</v>
      </c>
      <c r="G11">
        <v>109.7</v>
      </c>
      <c r="H11">
        <f t="shared" si="0"/>
        <v>328</v>
      </c>
      <c r="I11">
        <f t="shared" si="0"/>
        <v>278</v>
      </c>
    </row>
    <row r="12" spans="1:9" x14ac:dyDescent="0.25">
      <c r="A12">
        <v>55</v>
      </c>
      <c r="B12">
        <v>10</v>
      </c>
      <c r="C12">
        <v>21473</v>
      </c>
      <c r="D12">
        <v>8.0500000000000007</v>
      </c>
      <c r="E12">
        <v>2667</v>
      </c>
      <c r="F12">
        <v>13.16</v>
      </c>
      <c r="G12">
        <v>133.91999999999999</v>
      </c>
      <c r="H12">
        <f t="shared" si="0"/>
        <v>328</v>
      </c>
      <c r="I12">
        <f t="shared" si="0"/>
        <v>283</v>
      </c>
    </row>
    <row r="13" spans="1:9" x14ac:dyDescent="0.25">
      <c r="A13">
        <v>55</v>
      </c>
      <c r="B13">
        <v>15</v>
      </c>
      <c r="C13">
        <v>25634</v>
      </c>
      <c r="D13">
        <v>8.85</v>
      </c>
      <c r="E13">
        <v>2897</v>
      </c>
      <c r="F13">
        <v>13.8</v>
      </c>
      <c r="G13">
        <v>161.54</v>
      </c>
      <c r="H13">
        <f t="shared" si="0"/>
        <v>328</v>
      </c>
      <c r="I13">
        <f t="shared" si="0"/>
        <v>288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NJ9232E_12240</vt:lpstr>
      <vt:lpstr>NJ9232E_13949</vt:lpstr>
      <vt:lpstr>NJ9238E_15467</vt:lpstr>
      <vt:lpstr>NJ7240F_19462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LUIZ MENDES FLORIANO</dc:creator>
  <cp:lastModifiedBy>ANDRE LUIZ MENDES FLORIANO</cp:lastModifiedBy>
  <dcterms:created xsi:type="dcterms:W3CDTF">2025-11-24T21:29:39Z</dcterms:created>
  <dcterms:modified xsi:type="dcterms:W3CDTF">2025-11-24T21:38:23Z</dcterms:modified>
</cp:coreProperties>
</file>