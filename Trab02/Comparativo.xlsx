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Imagens\Documentos Legit\. Faculdade\UDESC\8_Fase_UDESC\REF\REF_Trabalhos\Trab02\"/>
    </mc:Choice>
  </mc:AlternateContent>
  <xr:revisionPtr revIDLastSave="0" documentId="13_ncr:1_{C583F329-8FCC-48E2-BD53-C0B463F1BC70}" xr6:coauthVersionLast="47" xr6:coauthVersionMax="47" xr10:uidLastSave="{00000000-0000-0000-0000-000000000000}"/>
  <bookViews>
    <workbookView xWindow="-120" yWindow="-120" windowWidth="38640" windowHeight="21120" xr2:uid="{73E499FD-F11F-4D79-A878-C0BB438BF0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E13" i="1"/>
  <c r="D13" i="1"/>
  <c r="E6" i="1"/>
  <c r="F6" i="1"/>
  <c r="G6" i="1"/>
  <c r="H6" i="1"/>
  <c r="I6" i="1"/>
  <c r="J6" i="1"/>
  <c r="D6" i="1"/>
</calcChain>
</file>

<file path=xl/sharedStrings.xml><?xml version="1.0" encoding="utf-8"?>
<sst xmlns="http://schemas.openxmlformats.org/spreadsheetml/2006/main" count="24" uniqueCount="14">
  <si>
    <t>compressor</t>
  </si>
  <si>
    <t>COP</t>
  </si>
  <si>
    <t>QL</t>
  </si>
  <si>
    <t>QH</t>
  </si>
  <si>
    <t>m</t>
  </si>
  <si>
    <t>w</t>
  </si>
  <si>
    <t>UA_externo</t>
  </si>
  <si>
    <t>UA_interno</t>
  </si>
  <si>
    <t>NJ7240F_19462BTU</t>
  </si>
  <si>
    <t>NJ9238E_15467BTU</t>
  </si>
  <si>
    <t>Resultados Verão</t>
  </si>
  <si>
    <t>Diferença</t>
  </si>
  <si>
    <t>Resultados Inverno</t>
  </si>
  <si>
    <t>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</si>
</sst>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74" formatCode="0.0000"/>
    <numFmt numFmtId="17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EBDBB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C200-4C28-478A-9810-FB407D331950}">
  <dimension ref="B2:J13"/>
  <sheetViews>
    <sheetView tabSelected="1" zoomScale="115" zoomScaleNormal="115" workbookViewId="0">
      <selection activeCell="R10" sqref="R10"/>
    </sheetView>
  </sheetViews>
  <sheetFormatPr defaultRowHeight="15" x14ac:dyDescent="0.25"/>
  <cols>
    <col min="3" max="3" width="18.7109375" bestFit="1" customWidth="1"/>
    <col min="4" max="4" width="9.85546875" customWidth="1"/>
    <col min="5" max="5" width="9.7109375" customWidth="1"/>
    <col min="6" max="6" width="11.28515625" customWidth="1"/>
    <col min="7" max="7" width="9.85546875" customWidth="1"/>
    <col min="8" max="8" width="11.85546875" customWidth="1"/>
    <col min="9" max="9" width="15.140625" bestFit="1" customWidth="1"/>
    <col min="10" max="10" width="14" bestFit="1" customWidth="1"/>
  </cols>
  <sheetData>
    <row r="2" spans="2:10" x14ac:dyDescent="0.25">
      <c r="C2" s="3" t="s">
        <v>10</v>
      </c>
      <c r="D2" s="3"/>
      <c r="E2" s="3"/>
      <c r="F2" s="3"/>
      <c r="G2" s="3"/>
      <c r="H2" s="3"/>
      <c r="I2" s="3"/>
      <c r="J2" s="3"/>
    </row>
    <row r="3" spans="2:10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2:10" x14ac:dyDescent="0.25">
      <c r="B4" s="1"/>
      <c r="C4" s="2" t="s">
        <v>8</v>
      </c>
      <c r="D4" s="6">
        <v>2.7107396332840699</v>
      </c>
      <c r="E4" s="4">
        <v>4395</v>
      </c>
      <c r="F4" s="4">
        <v>9514.2666457708092</v>
      </c>
      <c r="G4" s="7">
        <v>4.3416828950848599E-2</v>
      </c>
      <c r="H4" s="4">
        <v>1621.3287126640901</v>
      </c>
      <c r="I4" s="4">
        <v>1902.8533291541601</v>
      </c>
      <c r="J4" s="4">
        <v>879</v>
      </c>
    </row>
    <row r="5" spans="2:10" x14ac:dyDescent="0.25">
      <c r="B5" s="1"/>
      <c r="C5" s="2" t="s">
        <v>9</v>
      </c>
      <c r="D5" s="6">
        <v>3.2483004763932501</v>
      </c>
      <c r="E5" s="4">
        <v>4395</v>
      </c>
      <c r="F5" s="4">
        <v>7083.4173226186904</v>
      </c>
      <c r="G5" s="7">
        <v>3.3836241893664597E-2</v>
      </c>
      <c r="H5" s="4">
        <v>1353.0152250200599</v>
      </c>
      <c r="I5" s="4">
        <v>1416.68346452374</v>
      </c>
      <c r="J5" s="4">
        <v>879</v>
      </c>
    </row>
    <row r="6" spans="2:10" x14ac:dyDescent="0.25">
      <c r="B6" s="1"/>
      <c r="C6" s="2" t="s">
        <v>11</v>
      </c>
      <c r="D6" s="5">
        <f>(D5-D4)/D4</f>
        <v>0.19830781108915413</v>
      </c>
      <c r="E6" s="5">
        <f>(E5-E4)/E4</f>
        <v>0</v>
      </c>
      <c r="F6" s="5">
        <f>(F5-F4)/F4</f>
        <v>-0.25549518566758445</v>
      </c>
      <c r="G6" s="5">
        <f>(G5-G4)/G4</f>
        <v>-0.22066528783182232</v>
      </c>
      <c r="H6" s="5">
        <f>(H5-H4)/H4</f>
        <v>-0.16548987601850967</v>
      </c>
      <c r="I6" s="5">
        <f>(I5-I4)/I4</f>
        <v>-0.25549518566758272</v>
      </c>
      <c r="J6" s="5">
        <f>(J5-J4)/J4</f>
        <v>0</v>
      </c>
    </row>
    <row r="9" spans="2:10" x14ac:dyDescent="0.25">
      <c r="C9" s="3" t="s">
        <v>12</v>
      </c>
      <c r="D9" s="3"/>
      <c r="E9" s="3"/>
      <c r="F9" s="3"/>
      <c r="G9" s="3"/>
      <c r="H9" s="3"/>
      <c r="I9" s="3"/>
      <c r="J9" s="3"/>
    </row>
    <row r="10" spans="2:10" x14ac:dyDescent="0.25">
      <c r="C10" s="2" t="s">
        <v>13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</row>
    <row r="11" spans="2:10" x14ac:dyDescent="0.25">
      <c r="C11" s="2" t="s">
        <v>8</v>
      </c>
      <c r="D11" s="6">
        <v>4.3065349719376904</v>
      </c>
      <c r="E11" s="4">
        <v>4395</v>
      </c>
      <c r="F11" s="4">
        <v>8229.9692689398398</v>
      </c>
      <c r="G11" s="7">
        <v>3.5323228646520398E-2</v>
      </c>
      <c r="H11" s="4">
        <v>1020.54204334546</v>
      </c>
      <c r="I11" s="4">
        <v>1645.99385378796</v>
      </c>
      <c r="J11" s="4">
        <v>879</v>
      </c>
    </row>
    <row r="12" spans="2:10" x14ac:dyDescent="0.25">
      <c r="C12" s="2" t="s">
        <v>9</v>
      </c>
      <c r="D12" s="6">
        <v>5.1913284087545399</v>
      </c>
      <c r="E12" s="4">
        <v>4395</v>
      </c>
      <c r="F12" s="4">
        <v>6070.43423863307</v>
      </c>
      <c r="G12" s="7">
        <v>2.7399859751472001E-2</v>
      </c>
      <c r="H12" s="4">
        <v>846.60411631603995</v>
      </c>
      <c r="I12" s="4">
        <v>1214.0868477266099</v>
      </c>
      <c r="J12" s="4">
        <v>879</v>
      </c>
    </row>
    <row r="13" spans="2:10" x14ac:dyDescent="0.25">
      <c r="C13" s="2" t="s">
        <v>11</v>
      </c>
      <c r="D13" s="5">
        <f>(D12-D11)/D11</f>
        <v>0.20545367507343007</v>
      </c>
      <c r="E13" s="5">
        <f>(E12-E11)/E11</f>
        <v>0</v>
      </c>
      <c r="F13" s="5">
        <f>(F12-F11)/F11</f>
        <v>-0.26239891787408276</v>
      </c>
      <c r="G13" s="5">
        <f>(G12-G11)/G11</f>
        <v>-0.22431043816344087</v>
      </c>
      <c r="H13" s="5">
        <f>(H12-H11)/H11</f>
        <v>-0.17043680675734879</v>
      </c>
      <c r="I13" s="5">
        <f>(I12-I11)/I11</f>
        <v>-0.26239891787408165</v>
      </c>
      <c r="J13" s="5">
        <f>(J12-J11)/J11</f>
        <v>0</v>
      </c>
    </row>
  </sheetData>
  <mergeCells count="2">
    <mergeCell ref="C2:J2"/>
    <mergeCell ref="C9:J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MENDES FLORIANO</dc:creator>
  <cp:lastModifiedBy>ANDRE LUIZ MENDES FLORIANO</cp:lastModifiedBy>
  <dcterms:created xsi:type="dcterms:W3CDTF">2025-12-01T10:22:27Z</dcterms:created>
  <dcterms:modified xsi:type="dcterms:W3CDTF">2025-12-01T10:34:50Z</dcterms:modified>
</cp:coreProperties>
</file>